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kiselev\Documents\dev\CAD-template\bom\"/>
    </mc:Choice>
  </mc:AlternateContent>
  <xr:revisionPtr revIDLastSave="0" documentId="13_ncr:1_{5A4A80D2-54B3-4DA7-9802-AD74E7088A59}" xr6:coauthVersionLast="47" xr6:coauthVersionMax="47" xr10:uidLastSave="{00000000-0000-0000-0000-000000000000}"/>
  <bookViews>
    <workbookView xWindow="-16320" yWindow="-4470" windowWidth="16440" windowHeight="28320" xr2:uid="{5E7C3FFB-AD92-4196-811B-21E5F425FF1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I14" i="1" s="1"/>
  <c r="H13" i="1"/>
  <c r="I13" i="1" s="1"/>
  <c r="H8" i="1"/>
  <c r="I8" i="1" s="1"/>
  <c r="I15" i="1" l="1"/>
</calcChain>
</file>

<file path=xl/sharedStrings.xml><?xml version="1.0" encoding="utf-8"?>
<sst xmlns="http://schemas.openxmlformats.org/spreadsheetml/2006/main" count="39" uniqueCount="36">
  <si>
    <t>Bill of materials</t>
  </si>
  <si>
    <t>Raw aluminum</t>
  </si>
  <si>
    <t>9246K524</t>
  </si>
  <si>
    <t>Vendor</t>
  </si>
  <si>
    <t>McMaster</t>
  </si>
  <si>
    <t>Formlabs</t>
  </si>
  <si>
    <t>91698A202</t>
  </si>
  <si>
    <t>M2x6 flat head screw</t>
  </si>
  <si>
    <t>Raw materials</t>
  </si>
  <si>
    <t>#</t>
  </si>
  <si>
    <t>Name</t>
  </si>
  <si>
    <t>Catalog #</t>
  </si>
  <si>
    <t>Commercial materials</t>
  </si>
  <si>
    <t>Parts</t>
  </si>
  <si>
    <t>Custom parts</t>
  </si>
  <si>
    <t>Qty</t>
  </si>
  <si>
    <t>Asm qty</t>
  </si>
  <si>
    <t>Price</t>
  </si>
  <si>
    <t>Cost</t>
  </si>
  <si>
    <t>Description</t>
  </si>
  <si>
    <t>Material</t>
  </si>
  <si>
    <t>6061-T6511 Al</t>
  </si>
  <si>
    <t>Phillips Flat Head Screws, M2 x 0.4 mm, 6 mm Long</t>
  </si>
  <si>
    <t>Multipurpose 6061-T6511 Aluminum, 5/8" Thick, 6" x 12"</t>
  </si>
  <si>
    <t>pTIRF custom slide holder, v0.4.1</t>
  </si>
  <si>
    <t>Total</t>
  </si>
  <si>
    <t>3D printed parts (Formlabs Form 4)</t>
  </si>
  <si>
    <t>CNC milled parts (HAAS VF-1)</t>
  </si>
  <si>
    <t>Pkg qty</t>
  </si>
  <si>
    <t>Mult.</t>
  </si>
  <si>
    <t>Black Resin V5</t>
  </si>
  <si>
    <t>RS-C2-GPBK-05</t>
  </si>
  <si>
    <t>Black resin</t>
  </si>
  <si>
    <t>Black Resin V5 (Form 4) 1 L</t>
  </si>
  <si>
    <t>Gear</t>
  </si>
  <si>
    <t>Frame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</si>
</sst>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44" formatCode="_(&quot;$&quot;* #,##0.00_);_(&quot;$&quot;* \(#,##0.00\);_(&quot;$&quot;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2" fillId="0" borderId="0" xfId="2"/>
    <xf numFmtId="44" fontId="0" fillId="0" borderId="0" xfId="1" applyNumberFormat="1" applyFont="1"/>
    <xf numFmtId="44" fontId="0" fillId="0" borderId="0" xfId="0" applyNumberFormat="1"/>
    <xf numFmtId="0" fontId="5" fillId="0" borderId="3" xfId="0" applyFont="1" applyBorder="1"/>
    <xf numFmtId="0" fontId="0" fillId="0" borderId="3" xfId="0" applyBorder="1"/>
    <xf numFmtId="0" fontId="5" fillId="0" borderId="3" xfId="0" applyFont="1" applyBorder="1" applyAlignment="1">
      <alignment wrapText="1"/>
    </xf>
    <xf numFmtId="0" fontId="2" fillId="0" borderId="3" xfId="2" applyBorder="1"/>
    <xf numFmtId="44" fontId="0" fillId="0" borderId="3" xfId="1" applyNumberFormat="1" applyFont="1" applyBorder="1"/>
    <xf numFmtId="44" fontId="0" fillId="0" borderId="3" xfId="0" applyNumberFormat="1" applyBorder="1"/>
    <xf numFmtId="0" fontId="2" fillId="0" borderId="3" xfId="2" applyFill="1" applyBorder="1"/>
    <xf numFmtId="1" fontId="0" fillId="0" borderId="3" xfId="1" applyNumberFormat="1" applyFont="1" applyBorder="1"/>
    <xf numFmtId="2" fontId="0" fillId="0" borderId="3" xfId="5" applyNumberFormat="1" applyFont="1" applyBorder="1"/>
    <xf numFmtId="0" fontId="0" fillId="0" borderId="3" xfId="0" applyFill="1" applyBorder="1"/>
    <xf numFmtId="6" fontId="0" fillId="0" borderId="3" xfId="1" applyNumberFormat="1" applyFont="1" applyBorder="1"/>
    <xf numFmtId="0" fontId="5" fillId="0" borderId="3" xfId="0" applyFont="1" applyBorder="1" applyAlignment="1">
      <alignment horizontal="left"/>
    </xf>
    <xf numFmtId="0" fontId="3" fillId="0" borderId="1" xfId="3" applyAlignment="1">
      <alignment horizontal="left"/>
    </xf>
    <xf numFmtId="0" fontId="4" fillId="0" borderId="2" xfId="4" applyAlignment="1">
      <alignment horizontal="left"/>
    </xf>
  </cellXfs>
  <cellStyles count="6">
    <cellStyle name="Currency" xfId="1" builtinId="4"/>
    <cellStyle name="Heading 1" xfId="3" builtinId="16"/>
    <cellStyle name="Heading 2" xfId="4" builtinId="17"/>
    <cellStyle name="Hyperlink" xfId="2" builtinId="8"/>
    <cellStyle name="Normal" xfId="0" builtinId="0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ormlabs.com/store/materials/black-resin/" TargetMode="External"/><Relationship Id="rId2" Type="http://schemas.openxmlformats.org/officeDocument/2006/relationships/hyperlink" Target="https://www.mcmaster.com/91698A202/" TargetMode="External"/><Relationship Id="rId1" Type="http://schemas.openxmlformats.org/officeDocument/2006/relationships/hyperlink" Target="https://www.mcmaster.com/catalog/131/4220/9246K524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2788A-CF66-403D-A347-3269E682F484}">
  <sheetPr>
    <pageSetUpPr fitToPage="1"/>
  </sheetPr>
  <dimension ref="A1:J25"/>
  <sheetViews>
    <sheetView tabSelected="1" workbookViewId="0">
      <selection activeCell="E31" sqref="E31"/>
    </sheetView>
  </sheetViews>
  <sheetFormatPr defaultRowHeight="15" x14ac:dyDescent="0.25"/>
  <cols>
    <col min="1" max="1" width="4.140625" customWidth="1"/>
    <col min="2" max="2" width="23.7109375" bestFit="1" customWidth="1"/>
    <col min="3" max="3" width="9.5703125" customWidth="1"/>
    <col min="4" max="4" width="14.5703125" customWidth="1"/>
    <col min="5" max="5" width="5.42578125" customWidth="1"/>
    <col min="6" max="6" width="9.42578125" customWidth="1"/>
    <col min="7" max="7" width="7.42578125" bestFit="1" customWidth="1"/>
    <col min="8" max="8" width="5.5703125" bestFit="1" customWidth="1"/>
    <col min="9" max="9" width="9.7109375" customWidth="1"/>
    <col min="10" max="10" width="55.140625" bestFit="1" customWidth="1"/>
  </cols>
  <sheetData>
    <row r="1" spans="1:10" ht="20.25" thickBot="1" x14ac:dyDescent="0.35">
      <c r="A1" s="16" t="s">
        <v>0</v>
      </c>
      <c r="B1" s="16"/>
      <c r="C1" s="16"/>
      <c r="D1" s="16"/>
      <c r="E1" s="16"/>
      <c r="F1" s="16"/>
      <c r="G1" s="16"/>
      <c r="H1" s="16"/>
      <c r="I1" s="16"/>
      <c r="J1" s="16"/>
    </row>
    <row r="2" spans="1:10" ht="15.75" thickTop="1" x14ac:dyDescent="0.25">
      <c r="A2" t="s">
        <v>24</v>
      </c>
    </row>
    <row r="4" spans="1:10" ht="18" thickBot="1" x14ac:dyDescent="0.35">
      <c r="A4" s="17" t="s">
        <v>12</v>
      </c>
      <c r="B4" s="17"/>
      <c r="C4" s="17"/>
      <c r="D4" s="17"/>
      <c r="E4" s="17"/>
      <c r="F4" s="17"/>
      <c r="G4" s="17"/>
      <c r="H4" s="17"/>
      <c r="I4" s="17"/>
      <c r="J4" s="17"/>
    </row>
    <row r="5" spans="1:10" ht="9" customHeight="1" thickTop="1" x14ac:dyDescent="0.25"/>
    <row r="6" spans="1:10" ht="28.5" customHeight="1" x14ac:dyDescent="0.25">
      <c r="A6" s="6" t="s">
        <v>9</v>
      </c>
      <c r="B6" s="6" t="s">
        <v>10</v>
      </c>
      <c r="C6" s="6" t="s">
        <v>3</v>
      </c>
      <c r="D6" s="6" t="s">
        <v>11</v>
      </c>
      <c r="E6" s="6" t="s">
        <v>16</v>
      </c>
      <c r="F6" s="6" t="s">
        <v>17</v>
      </c>
      <c r="G6" s="6" t="s">
        <v>28</v>
      </c>
      <c r="H6" s="6" t="s">
        <v>29</v>
      </c>
      <c r="I6" s="6" t="s">
        <v>18</v>
      </c>
      <c r="J6" s="6" t="s">
        <v>19</v>
      </c>
    </row>
    <row r="7" spans="1:10" x14ac:dyDescent="0.25">
      <c r="A7" s="15" t="s">
        <v>13</v>
      </c>
      <c r="B7" s="15"/>
      <c r="C7" s="15"/>
      <c r="D7" s="15"/>
      <c r="E7" s="15"/>
      <c r="F7" s="15"/>
      <c r="G7" s="15"/>
      <c r="H7" s="15"/>
      <c r="I7" s="15"/>
      <c r="J7" s="15"/>
    </row>
    <row r="8" spans="1:10" x14ac:dyDescent="0.25">
      <c r="A8" s="5">
        <v>1</v>
      </c>
      <c r="B8" s="5" t="s">
        <v>7</v>
      </c>
      <c r="C8" s="5" t="s">
        <v>4</v>
      </c>
      <c r="D8" s="7" t="s">
        <v>6</v>
      </c>
      <c r="E8" s="5">
        <v>12</v>
      </c>
      <c r="F8" s="8">
        <v>9.7200000000000006</v>
      </c>
      <c r="G8" s="11">
        <v>100</v>
      </c>
      <c r="H8" s="12">
        <f>E8/G8</f>
        <v>0.12</v>
      </c>
      <c r="I8" s="9">
        <f>F8*H8</f>
        <v>1.1664000000000001</v>
      </c>
      <c r="J8" s="5" t="s">
        <v>22</v>
      </c>
    </row>
    <row r="9" spans="1:10" x14ac:dyDescent="0.25">
      <c r="A9" s="5"/>
      <c r="B9" s="5"/>
      <c r="C9" s="5"/>
      <c r="D9" s="7"/>
      <c r="E9" s="5"/>
      <c r="F9" s="8"/>
      <c r="G9" s="11"/>
      <c r="H9" s="12"/>
      <c r="I9" s="9"/>
      <c r="J9" s="5"/>
    </row>
    <row r="10" spans="1:10" x14ac:dyDescent="0.25">
      <c r="A10" s="5"/>
      <c r="B10" s="5"/>
      <c r="C10" s="5"/>
      <c r="D10" s="10"/>
      <c r="E10" s="5"/>
      <c r="F10" s="8"/>
      <c r="G10" s="11"/>
      <c r="H10" s="12"/>
      <c r="I10" s="9"/>
      <c r="J10" s="5"/>
    </row>
    <row r="11" spans="1:10" x14ac:dyDescent="0.25">
      <c r="A11" s="5"/>
      <c r="B11" s="5"/>
      <c r="C11" s="5"/>
      <c r="D11" s="7"/>
      <c r="E11" s="5"/>
      <c r="F11" s="8"/>
      <c r="G11" s="11"/>
      <c r="H11" s="12"/>
      <c r="I11" s="9"/>
      <c r="J11" s="5"/>
    </row>
    <row r="12" spans="1:10" x14ac:dyDescent="0.25">
      <c r="A12" s="15" t="s">
        <v>8</v>
      </c>
      <c r="B12" s="15"/>
      <c r="C12" s="15"/>
      <c r="D12" s="15"/>
      <c r="E12" s="15"/>
      <c r="F12" s="15"/>
      <c r="G12" s="15"/>
      <c r="H12" s="15"/>
      <c r="I12" s="15"/>
      <c r="J12" s="15"/>
    </row>
    <row r="13" spans="1:10" x14ac:dyDescent="0.25">
      <c r="A13" s="5">
        <v>1</v>
      </c>
      <c r="B13" s="5" t="s">
        <v>1</v>
      </c>
      <c r="C13" s="5" t="s">
        <v>4</v>
      </c>
      <c r="D13" s="7" t="s">
        <v>2</v>
      </c>
      <c r="E13" s="5">
        <v>1</v>
      </c>
      <c r="F13" s="8">
        <v>49.95</v>
      </c>
      <c r="G13" s="11">
        <v>1</v>
      </c>
      <c r="H13" s="12">
        <f>E13/G13</f>
        <v>1</v>
      </c>
      <c r="I13" s="9">
        <f>F13*H13</f>
        <v>49.95</v>
      </c>
      <c r="J13" s="5" t="s">
        <v>23</v>
      </c>
    </row>
    <row r="14" spans="1:10" x14ac:dyDescent="0.25">
      <c r="A14" s="5">
        <v>2</v>
      </c>
      <c r="B14" s="5" t="s">
        <v>30</v>
      </c>
      <c r="C14" s="13" t="s">
        <v>5</v>
      </c>
      <c r="D14" s="7" t="s">
        <v>31</v>
      </c>
      <c r="E14" s="13">
        <v>73</v>
      </c>
      <c r="F14" s="14">
        <v>79</v>
      </c>
      <c r="G14" s="11">
        <v>1000</v>
      </c>
      <c r="H14" s="12">
        <f>E14/G14</f>
        <v>7.2999999999999995E-2</v>
      </c>
      <c r="I14" s="9">
        <f>F14*H14</f>
        <v>5.7669999999999995</v>
      </c>
      <c r="J14" s="5" t="s">
        <v>33</v>
      </c>
    </row>
    <row r="15" spans="1:10" x14ac:dyDescent="0.25">
      <c r="D15" s="1"/>
      <c r="F15" s="2"/>
      <c r="G15" s="2"/>
      <c r="H15" s="5" t="s">
        <v>25</v>
      </c>
      <c r="I15" s="9">
        <f>SUM(I8:I14)</f>
        <v>56.883400000000009</v>
      </c>
    </row>
    <row r="16" spans="1:10" ht="18" thickBot="1" x14ac:dyDescent="0.35">
      <c r="A16" s="17" t="s">
        <v>14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9" ht="6" customHeight="1" thickTop="1" x14ac:dyDescent="0.25"/>
    <row r="18" spans="1:9" x14ac:dyDescent="0.25">
      <c r="A18" s="4" t="s">
        <v>9</v>
      </c>
      <c r="B18" s="4" t="s">
        <v>10</v>
      </c>
      <c r="C18" s="4" t="s">
        <v>15</v>
      </c>
      <c r="D18" s="4" t="s">
        <v>20</v>
      </c>
      <c r="F18" s="2"/>
      <c r="G18" s="2"/>
      <c r="I18" s="3"/>
    </row>
    <row r="19" spans="1:9" x14ac:dyDescent="0.25">
      <c r="A19" s="15" t="s">
        <v>27</v>
      </c>
      <c r="B19" s="15"/>
      <c r="C19" s="15"/>
      <c r="D19" s="15"/>
      <c r="F19" s="2"/>
      <c r="G19" s="2"/>
      <c r="I19" s="3"/>
    </row>
    <row r="20" spans="1:9" x14ac:dyDescent="0.25">
      <c r="A20" s="5">
        <v>1</v>
      </c>
      <c r="B20" s="5" t="s">
        <v>35</v>
      </c>
      <c r="C20" s="5">
        <v>1</v>
      </c>
      <c r="D20" s="5" t="s">
        <v>21</v>
      </c>
      <c r="F20" s="2"/>
      <c r="G20" s="2"/>
      <c r="I20" s="3"/>
    </row>
    <row r="21" spans="1:9" x14ac:dyDescent="0.25">
      <c r="A21" s="15" t="s">
        <v>26</v>
      </c>
      <c r="B21" s="15"/>
      <c r="C21" s="15"/>
      <c r="D21" s="15"/>
      <c r="F21" s="2"/>
      <c r="G21" s="2"/>
      <c r="I21" s="3"/>
    </row>
    <row r="22" spans="1:9" x14ac:dyDescent="0.25">
      <c r="A22" s="5">
        <v>1</v>
      </c>
      <c r="B22" s="5" t="s">
        <v>34</v>
      </c>
      <c r="C22" s="5">
        <v>1</v>
      </c>
      <c r="D22" s="5" t="s">
        <v>32</v>
      </c>
      <c r="F22" s="2"/>
      <c r="G22" s="2"/>
      <c r="I22" s="3"/>
    </row>
    <row r="23" spans="1:9" x14ac:dyDescent="0.25">
      <c r="A23" s="5"/>
      <c r="B23" s="5"/>
      <c r="C23" s="5"/>
      <c r="D23" s="5"/>
      <c r="F23" s="2"/>
      <c r="G23" s="2"/>
      <c r="I23" s="3"/>
    </row>
    <row r="24" spans="1:9" x14ac:dyDescent="0.25">
      <c r="A24" s="5"/>
      <c r="B24" s="5"/>
      <c r="C24" s="5"/>
      <c r="D24" s="5"/>
      <c r="F24" s="3"/>
      <c r="G24" s="3"/>
      <c r="I24" s="3"/>
    </row>
    <row r="25" spans="1:9" x14ac:dyDescent="0.25">
      <c r="A25" s="5"/>
      <c r="B25" s="13"/>
      <c r="C25" s="13"/>
      <c r="D25" s="13"/>
    </row>
  </sheetData>
  <mergeCells count="7">
    <mergeCell ref="A19:D19"/>
    <mergeCell ref="A21:D21"/>
    <mergeCell ref="A1:J1"/>
    <mergeCell ref="A4:J4"/>
    <mergeCell ref="A16:J16"/>
    <mergeCell ref="A7:J7"/>
    <mergeCell ref="A12:J12"/>
  </mergeCells>
  <hyperlinks>
    <hyperlink ref="D13" r:id="rId1" xr:uid="{A92ED648-F042-4DB1-BDA2-ACF6A8003DF9}"/>
    <hyperlink ref="D8" r:id="rId2" xr:uid="{2B374A49-030C-4787-B652-5E0666B02CFB}"/>
    <hyperlink ref="D14" r:id="rId3" xr:uid="{F14FA5A5-4C71-4F6A-AACF-1FB846D53597}"/>
  </hyperlinks>
  <pageMargins left="0.7" right="0.7" top="0.75" bottom="0.75" header="0.3" footer="0.3"/>
  <pageSetup scale="87" orientation="landscape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Kiselev, Roman</dc:creator>
  <cp:lastModifiedBy>Kiselev, Roman</cp:lastModifiedBy>
  <cp:lastPrinted>2025-03-18T16:59:27Z</cp:lastPrinted>
  <dcterms:created xsi:type="dcterms:W3CDTF">2025-03-17T21:22:57Z</dcterms:created>
  <dcterms:modified xsi:type="dcterms:W3CDTF">2025-03-24T21:13:58Z</dcterms:modified>
</cp:coreProperties>
</file>