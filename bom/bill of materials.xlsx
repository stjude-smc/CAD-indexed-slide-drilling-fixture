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iselev\Documents\dev\CAD-indexed-slide-drilling-fixture\bom\"/>
    </mc:Choice>
  </mc:AlternateContent>
  <xr:revisionPtr revIDLastSave="0" documentId="13_ncr:1_{DB933B9A-DE38-42FA-92B1-466198A1F7D0}" xr6:coauthVersionLast="47" xr6:coauthVersionMax="47" xr10:uidLastSave="{00000000-0000-0000-0000-000000000000}"/>
  <bookViews>
    <workbookView xWindow="9075" yWindow="2025" windowWidth="32190" windowHeight="17700" xr2:uid="{5E7C3FFB-AD92-4196-811B-21E5F425F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I14" i="1" s="1"/>
  <c r="H15" i="1"/>
  <c r="I15" i="1" s="1"/>
  <c r="H16" i="1"/>
  <c r="I16" i="1" s="1"/>
  <c r="H11" i="1"/>
  <c r="I11" i="1" s="1"/>
  <c r="H9" i="1"/>
  <c r="I9" i="1" s="1"/>
  <c r="H10" i="1"/>
  <c r="I10" i="1" s="1"/>
  <c r="H17" i="1"/>
  <c r="I17" i="1" s="1"/>
  <c r="H13" i="1"/>
  <c r="I13" i="1" s="1"/>
  <c r="H8" i="1"/>
  <c r="I8" i="1" s="1"/>
  <c r="I18" i="1" l="1"/>
</calcChain>
</file>

<file path=xl/sharedStrings.xml><?xml version="1.0" encoding="utf-8"?>
<sst xmlns="http://schemas.openxmlformats.org/spreadsheetml/2006/main" count="79" uniqueCount="65">
  <si>
    <t>Bill of materials</t>
  </si>
  <si>
    <t>Vendor</t>
  </si>
  <si>
    <t>McMaster</t>
  </si>
  <si>
    <t>Formlabs</t>
  </si>
  <si>
    <t>Raw materials</t>
  </si>
  <si>
    <t>#</t>
  </si>
  <si>
    <t>Name</t>
  </si>
  <si>
    <t>Catalog #</t>
  </si>
  <si>
    <t>Commercial materials</t>
  </si>
  <si>
    <t>Parts</t>
  </si>
  <si>
    <t>Custom parts</t>
  </si>
  <si>
    <t>Qty</t>
  </si>
  <si>
    <t>Asm qty</t>
  </si>
  <si>
    <t>Price</t>
  </si>
  <si>
    <t>Cost</t>
  </si>
  <si>
    <t>Description</t>
  </si>
  <si>
    <t>Material</t>
  </si>
  <si>
    <t>Total</t>
  </si>
  <si>
    <t>3D printed parts (Formlabs Form 4)</t>
  </si>
  <si>
    <t>Pkg qty</t>
  </si>
  <si>
    <t>Mult.</t>
  </si>
  <si>
    <t>pTIRF indexed slide drilling fixture v1.0.0</t>
  </si>
  <si>
    <t>302 Stainless Steel Compression Springs 0.75" Long, 0.18" OD, 0.148" ID</t>
  </si>
  <si>
    <t>Compression springs</t>
  </si>
  <si>
    <t>9435K22</t>
  </si>
  <si>
    <t>Guide</t>
  </si>
  <si>
    <t>Thorlabs</t>
  </si>
  <si>
    <t>BA1L</t>
  </si>
  <si>
    <t xml:space="preserve">BA1L - Mounting Base, 1" x 4.5" x 3/8" </t>
  </si>
  <si>
    <t>Kinematic positioner</t>
  </si>
  <si>
    <t>KL03</t>
  </si>
  <si>
    <t xml:space="preserve">Spring-Loaded Plunger, 0.85" (21.6 mm) Long Slot </t>
  </si>
  <si>
    <t>Aluminum breadboard</t>
  </si>
  <si>
    <t>MSB6</t>
  </si>
  <si>
    <t xml:space="preserve">6" x  6" x 3/8" Mini-Series Aluminum Breadboard, 8-32 and 1/4"-20 Taps </t>
  </si>
  <si>
    <t>6" x 12" x 1/16" cast acrylic sheet</t>
  </si>
  <si>
    <t>6" x 12" x 3/32" cast acrylic sheet</t>
  </si>
  <si>
    <t>6" x 12" x 7/32" cast acrylic sheet</t>
  </si>
  <si>
    <t>6" x 12" x 1/4" cast acrylic sheet</t>
  </si>
  <si>
    <t>8560K178</t>
  </si>
  <si>
    <t>8560K188</t>
  </si>
  <si>
    <t>8560K179</t>
  </si>
  <si>
    <t>8560K359</t>
  </si>
  <si>
    <t>RS-C2-TO20-11</t>
  </si>
  <si>
    <t>Tough 2000 Resin (Form 4) 1 L</t>
  </si>
  <si>
    <t>Tough 2000 resin</t>
  </si>
  <si>
    <t>Slide drilling fixture base</t>
  </si>
  <si>
    <t>Slide drilling fixture top</t>
  </si>
  <si>
    <t>Slide drilling plunger</t>
  </si>
  <si>
    <t>1/16" acrylic</t>
  </si>
  <si>
    <t>1/16" (1.6mm) acrylic glass</t>
  </si>
  <si>
    <t>3/32" (2.4mm) acrylic glass</t>
  </si>
  <si>
    <t>7/32" (5.6mm) acrylic glass</t>
  </si>
  <si>
    <t>1/4" (6.4mm) acrylic glass</t>
  </si>
  <si>
    <t>Slide drilling fixture bottom</t>
  </si>
  <si>
    <t>3/32" acrylic</t>
  </si>
  <si>
    <t>Slide drilling fixture pedestal</t>
  </si>
  <si>
    <t>Slide drilling fixture plunger</t>
  </si>
  <si>
    <t>7/32" acrylic</t>
  </si>
  <si>
    <t>1/4" acrylic</t>
  </si>
  <si>
    <t>a) laser cut and fused with dichloromethane, or</t>
  </si>
  <si>
    <t>b) 3D printed and glued with superglue</t>
  </si>
  <si>
    <t>NOTE</t>
  </si>
  <si>
    <t>The slide drilling fixture can be either</t>
  </si>
  <si>
    <t>Laser cut parts (Universal laser VLS2.30)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</si>
</sst>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2"/>
    <xf numFmtId="44" fontId="0" fillId="0" borderId="0" xfId="1" applyFont="1"/>
    <xf numFmtId="44" fontId="0" fillId="0" borderId="0" xfId="0" applyNumberFormat="1"/>
    <xf numFmtId="0" fontId="5" fillId="0" borderId="3" xfId="0" applyFont="1" applyBorder="1"/>
    <xf numFmtId="0" fontId="0" fillId="0" borderId="3" xfId="0" applyBorder="1"/>
    <xf numFmtId="0" fontId="5" fillId="0" borderId="3" xfId="0" applyFont="1" applyBorder="1" applyAlignment="1">
      <alignment wrapText="1"/>
    </xf>
    <xf numFmtId="0" fontId="2" fillId="0" borderId="3" xfId="2" applyBorder="1"/>
    <xf numFmtId="44" fontId="0" fillId="0" borderId="3" xfId="1" applyFont="1" applyBorder="1"/>
    <xf numFmtId="44" fontId="0" fillId="0" borderId="3" xfId="0" applyNumberFormat="1" applyBorder="1"/>
    <xf numFmtId="0" fontId="2" fillId="0" borderId="3" xfId="2" applyFill="1" applyBorder="1"/>
    <xf numFmtId="1" fontId="0" fillId="0" borderId="3" xfId="1" applyNumberFormat="1" applyFont="1" applyBorder="1"/>
    <xf numFmtId="2" fontId="0" fillId="0" borderId="3" xfId="5" applyNumberFormat="1" applyFont="1" applyBorder="1"/>
    <xf numFmtId="6" fontId="0" fillId="0" borderId="3" xfId="1" applyNumberFormat="1" applyFont="1" applyBorder="1"/>
    <xf numFmtId="0" fontId="0" fillId="0" borderId="4" xfId="0" applyBorder="1"/>
    <xf numFmtId="0" fontId="5" fillId="0" borderId="3" xfId="0" applyFont="1" applyBorder="1" applyAlignment="1">
      <alignment horizontal="left"/>
    </xf>
    <xf numFmtId="0" fontId="3" fillId="0" borderId="1" xfId="3" applyAlignment="1">
      <alignment horizontal="left"/>
    </xf>
    <xf numFmtId="0" fontId="4" fillId="0" borderId="2" xfId="4" applyAlignment="1">
      <alignment horizontal="left"/>
    </xf>
  </cellXfs>
  <cellStyles count="6">
    <cellStyle name="Currency" xfId="1" builtinId="4"/>
    <cellStyle name="Heading 1" xfId="3" builtinId="16"/>
    <cellStyle name="Heading 2" xfId="4" builtinId="17"/>
    <cellStyle name="Hyperlink" xfId="2" builtinId="8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8560K359/" TargetMode="External"/><Relationship Id="rId3" Type="http://schemas.openxmlformats.org/officeDocument/2006/relationships/hyperlink" Target="https://www.thorlabs.com/thorproduct.cfm?partnumber=BA1L" TargetMode="External"/><Relationship Id="rId7" Type="http://schemas.openxmlformats.org/officeDocument/2006/relationships/hyperlink" Target="https://www.mcmaster.com/8560K179/" TargetMode="External"/><Relationship Id="rId2" Type="http://schemas.openxmlformats.org/officeDocument/2006/relationships/hyperlink" Target="https://www.mcmaster.com/9435K22/" TargetMode="External"/><Relationship Id="rId1" Type="http://schemas.openxmlformats.org/officeDocument/2006/relationships/hyperlink" Target="https://www.mcmaster.com/8560K178/" TargetMode="External"/><Relationship Id="rId6" Type="http://schemas.openxmlformats.org/officeDocument/2006/relationships/hyperlink" Target="https://www.mcmaster.com/8560K188/" TargetMode="External"/><Relationship Id="rId5" Type="http://schemas.openxmlformats.org/officeDocument/2006/relationships/hyperlink" Target="https://www.thorlabs.com/thorproduct.cfm?partnumber=MSB6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thorlabs.com/thorproduct.cfm?partnumber=KL03" TargetMode="External"/><Relationship Id="rId9" Type="http://schemas.openxmlformats.org/officeDocument/2006/relationships/hyperlink" Target="https://formlabs.com/store/materials/tough-2000-res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788A-CF66-403D-A347-3269E682F484}">
  <sheetPr>
    <pageSetUpPr fitToPage="1"/>
  </sheetPr>
  <dimension ref="A1:J31"/>
  <sheetViews>
    <sheetView tabSelected="1" workbookViewId="0">
      <selection activeCell="A23" sqref="A23"/>
    </sheetView>
  </sheetViews>
  <sheetFormatPr defaultRowHeight="15" x14ac:dyDescent="0.25"/>
  <cols>
    <col min="1" max="1" width="4.140625" customWidth="1"/>
    <col min="2" max="2" width="26.42578125" bestFit="1" customWidth="1"/>
    <col min="3" max="3" width="9.5703125" customWidth="1"/>
    <col min="4" max="4" width="15.85546875" bestFit="1" customWidth="1"/>
    <col min="5" max="5" width="5.42578125" customWidth="1"/>
    <col min="6" max="6" width="9.42578125" customWidth="1"/>
    <col min="7" max="7" width="7.42578125" bestFit="1" customWidth="1"/>
    <col min="8" max="8" width="5.5703125" bestFit="1" customWidth="1"/>
    <col min="9" max="9" width="9.7109375" customWidth="1"/>
    <col min="10" max="10" width="64.28515625" bestFit="1" customWidth="1"/>
  </cols>
  <sheetData>
    <row r="1" spans="1:10" ht="20.25" thickBo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.75" thickTop="1" x14ac:dyDescent="0.25">
      <c r="A2" t="s">
        <v>21</v>
      </c>
    </row>
    <row r="4" spans="1:10" ht="18" thickBot="1" x14ac:dyDescent="0.35">
      <c r="A4" s="17" t="s">
        <v>8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9" customHeight="1" thickTop="1" x14ac:dyDescent="0.25"/>
    <row r="6" spans="1:10" ht="28.5" customHeight="1" x14ac:dyDescent="0.25">
      <c r="A6" s="6" t="s">
        <v>5</v>
      </c>
      <c r="B6" s="6" t="s">
        <v>6</v>
      </c>
      <c r="C6" s="6" t="s">
        <v>1</v>
      </c>
      <c r="D6" s="6" t="s">
        <v>7</v>
      </c>
      <c r="E6" s="6" t="s">
        <v>12</v>
      </c>
      <c r="F6" s="6" t="s">
        <v>13</v>
      </c>
      <c r="G6" s="6" t="s">
        <v>19</v>
      </c>
      <c r="H6" s="6" t="s">
        <v>20</v>
      </c>
      <c r="I6" s="6" t="s">
        <v>14</v>
      </c>
      <c r="J6" s="6" t="s">
        <v>15</v>
      </c>
    </row>
    <row r="7" spans="1:10" x14ac:dyDescent="0.25">
      <c r="A7" s="15" t="s">
        <v>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5">
        <v>1</v>
      </c>
      <c r="B8" s="5" t="s">
        <v>23</v>
      </c>
      <c r="C8" s="5" t="s">
        <v>2</v>
      </c>
      <c r="D8" s="7" t="s">
        <v>24</v>
      </c>
      <c r="E8" s="5">
        <v>2</v>
      </c>
      <c r="F8" s="8">
        <v>5.76</v>
      </c>
      <c r="G8" s="11">
        <v>5</v>
      </c>
      <c r="H8" s="12">
        <f>E8/G8</f>
        <v>0.4</v>
      </c>
      <c r="I8" s="9">
        <f>F8*H8</f>
        <v>2.3039999999999998</v>
      </c>
      <c r="J8" s="5" t="s">
        <v>22</v>
      </c>
    </row>
    <row r="9" spans="1:10" x14ac:dyDescent="0.25">
      <c r="A9" s="5">
        <v>2</v>
      </c>
      <c r="B9" s="5" t="s">
        <v>25</v>
      </c>
      <c r="C9" s="5" t="s">
        <v>26</v>
      </c>
      <c r="D9" s="7" t="s">
        <v>27</v>
      </c>
      <c r="E9" s="5">
        <v>1</v>
      </c>
      <c r="F9" s="8">
        <v>14.53</v>
      </c>
      <c r="G9" s="11">
        <v>1</v>
      </c>
      <c r="H9" s="12">
        <f t="shared" ref="H9:H10" si="0">E9/G9</f>
        <v>1</v>
      </c>
      <c r="I9" s="9">
        <f t="shared" ref="I9:I10" si="1">F9*H9</f>
        <v>14.53</v>
      </c>
      <c r="J9" s="5" t="s">
        <v>28</v>
      </c>
    </row>
    <row r="10" spans="1:10" x14ac:dyDescent="0.25">
      <c r="A10" s="5">
        <v>3</v>
      </c>
      <c r="B10" s="5" t="s">
        <v>29</v>
      </c>
      <c r="C10" s="5" t="s">
        <v>26</v>
      </c>
      <c r="D10" s="10" t="s">
        <v>30</v>
      </c>
      <c r="E10" s="5">
        <v>1</v>
      </c>
      <c r="F10" s="8">
        <v>7.76</v>
      </c>
      <c r="G10" s="11">
        <v>1</v>
      </c>
      <c r="H10" s="12">
        <f t="shared" si="0"/>
        <v>1</v>
      </c>
      <c r="I10" s="9">
        <f t="shared" si="1"/>
        <v>7.76</v>
      </c>
      <c r="J10" s="5" t="s">
        <v>31</v>
      </c>
    </row>
    <row r="11" spans="1:10" x14ac:dyDescent="0.25">
      <c r="A11" s="5">
        <v>4</v>
      </c>
      <c r="B11" s="5" t="s">
        <v>32</v>
      </c>
      <c r="C11" s="5" t="s">
        <v>26</v>
      </c>
      <c r="D11" s="7" t="s">
        <v>33</v>
      </c>
      <c r="E11" s="5">
        <v>1</v>
      </c>
      <c r="F11" s="8">
        <v>8.76</v>
      </c>
      <c r="G11" s="11">
        <v>2</v>
      </c>
      <c r="H11" s="12">
        <f t="shared" ref="H11" si="2">E11/G11</f>
        <v>0.5</v>
      </c>
      <c r="I11" s="9">
        <f t="shared" ref="I11" si="3">F11*H11</f>
        <v>4.38</v>
      </c>
      <c r="J11" s="5" t="s">
        <v>34</v>
      </c>
    </row>
    <row r="12" spans="1:10" x14ac:dyDescent="0.25">
      <c r="A12" s="15" t="s">
        <v>4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0" x14ac:dyDescent="0.25">
      <c r="A13" s="5">
        <v>1</v>
      </c>
      <c r="B13" s="5" t="s">
        <v>50</v>
      </c>
      <c r="C13" s="5" t="s">
        <v>2</v>
      </c>
      <c r="D13" s="7" t="s">
        <v>39</v>
      </c>
      <c r="E13" s="5">
        <v>1</v>
      </c>
      <c r="F13" s="8">
        <v>3.44</v>
      </c>
      <c r="G13" s="11">
        <v>1</v>
      </c>
      <c r="H13" s="12">
        <f>E13/G13</f>
        <v>1</v>
      </c>
      <c r="I13" s="9">
        <f>F13*H13</f>
        <v>3.44</v>
      </c>
      <c r="J13" s="5" t="s">
        <v>35</v>
      </c>
    </row>
    <row r="14" spans="1:10" x14ac:dyDescent="0.25">
      <c r="A14" s="5">
        <v>2</v>
      </c>
      <c r="B14" s="5" t="s">
        <v>51</v>
      </c>
      <c r="C14" s="5" t="s">
        <v>2</v>
      </c>
      <c r="D14" s="7" t="s">
        <v>40</v>
      </c>
      <c r="E14" s="5">
        <v>1</v>
      </c>
      <c r="F14" s="8">
        <v>3.65</v>
      </c>
      <c r="G14" s="11">
        <v>1</v>
      </c>
      <c r="H14" s="12">
        <f t="shared" ref="H14:H16" si="4">E14/G14</f>
        <v>1</v>
      </c>
      <c r="I14" s="9">
        <f t="shared" ref="I14:I16" si="5">F14*H14</f>
        <v>3.65</v>
      </c>
      <c r="J14" s="5" t="s">
        <v>36</v>
      </c>
    </row>
    <row r="15" spans="1:10" x14ac:dyDescent="0.25">
      <c r="A15" s="5">
        <v>3</v>
      </c>
      <c r="B15" s="5" t="s">
        <v>52</v>
      </c>
      <c r="C15" s="5" t="s">
        <v>2</v>
      </c>
      <c r="D15" s="7" t="s">
        <v>41</v>
      </c>
      <c r="E15" s="5">
        <v>1</v>
      </c>
      <c r="F15" s="8">
        <v>9.92</v>
      </c>
      <c r="G15" s="11">
        <v>1</v>
      </c>
      <c r="H15" s="12">
        <f t="shared" si="4"/>
        <v>1</v>
      </c>
      <c r="I15" s="9">
        <f t="shared" si="5"/>
        <v>9.92</v>
      </c>
      <c r="J15" s="5" t="s">
        <v>37</v>
      </c>
    </row>
    <row r="16" spans="1:10" x14ac:dyDescent="0.25">
      <c r="A16" s="5">
        <v>4</v>
      </c>
      <c r="B16" s="5" t="s">
        <v>53</v>
      </c>
      <c r="C16" s="5" t="s">
        <v>2</v>
      </c>
      <c r="D16" s="7" t="s">
        <v>42</v>
      </c>
      <c r="E16" s="5">
        <v>1</v>
      </c>
      <c r="F16" s="8">
        <v>13.96</v>
      </c>
      <c r="G16" s="11">
        <v>1</v>
      </c>
      <c r="H16" s="12">
        <f t="shared" si="4"/>
        <v>1</v>
      </c>
      <c r="I16" s="9">
        <f t="shared" si="5"/>
        <v>13.96</v>
      </c>
      <c r="J16" s="5" t="s">
        <v>38</v>
      </c>
    </row>
    <row r="17" spans="1:10" x14ac:dyDescent="0.25">
      <c r="A17" s="5">
        <v>5</v>
      </c>
      <c r="B17" s="5" t="s">
        <v>45</v>
      </c>
      <c r="C17" s="5" t="s">
        <v>3</v>
      </c>
      <c r="D17" s="7" t="s">
        <v>43</v>
      </c>
      <c r="E17" s="5">
        <v>50</v>
      </c>
      <c r="F17" s="13">
        <v>149</v>
      </c>
      <c r="G17" s="11">
        <v>1000</v>
      </c>
      <c r="H17" s="12">
        <f>E17/G17</f>
        <v>0.05</v>
      </c>
      <c r="I17" s="9">
        <f>F17*H17</f>
        <v>7.45</v>
      </c>
      <c r="J17" s="5" t="s">
        <v>44</v>
      </c>
    </row>
    <row r="18" spans="1:10" x14ac:dyDescent="0.25">
      <c r="A18" s="14"/>
      <c r="D18" s="1"/>
      <c r="F18" s="2"/>
      <c r="G18" s="2"/>
      <c r="H18" s="5" t="s">
        <v>17</v>
      </c>
      <c r="I18" s="9">
        <f>SUM(I8:I17)</f>
        <v>67.394000000000005</v>
      </c>
    </row>
    <row r="19" spans="1:10" ht="18" thickBot="1" x14ac:dyDescent="0.35">
      <c r="A19" s="17" t="s">
        <v>10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 thickTop="1" x14ac:dyDescent="0.25"/>
    <row r="21" spans="1:10" x14ac:dyDescent="0.25">
      <c r="A21" s="4" t="s">
        <v>5</v>
      </c>
      <c r="B21" s="4" t="s">
        <v>6</v>
      </c>
      <c r="C21" s="4" t="s">
        <v>11</v>
      </c>
      <c r="D21" s="4" t="s">
        <v>16</v>
      </c>
      <c r="F21" s="2"/>
      <c r="G21" s="2"/>
      <c r="I21" s="3"/>
    </row>
    <row r="22" spans="1:10" x14ac:dyDescent="0.25">
      <c r="A22" s="15" t="s">
        <v>64</v>
      </c>
      <c r="B22" s="15"/>
      <c r="C22" s="15"/>
      <c r="D22" s="15"/>
      <c r="F22" s="2" t="s">
        <v>62</v>
      </c>
      <c r="G22" s="2"/>
      <c r="I22" s="3"/>
    </row>
    <row r="23" spans="1:10" x14ac:dyDescent="0.25">
      <c r="A23" s="5">
        <v>1</v>
      </c>
      <c r="B23" s="5" t="s">
        <v>47</v>
      </c>
      <c r="C23" s="5">
        <v>1</v>
      </c>
      <c r="D23" s="5" t="s">
        <v>49</v>
      </c>
      <c r="F23" s="2" t="s">
        <v>63</v>
      </c>
      <c r="I23" s="3"/>
    </row>
    <row r="24" spans="1:10" x14ac:dyDescent="0.25">
      <c r="A24" s="5">
        <v>2</v>
      </c>
      <c r="B24" s="5" t="s">
        <v>54</v>
      </c>
      <c r="C24" s="5">
        <v>1</v>
      </c>
      <c r="D24" s="5" t="s">
        <v>49</v>
      </c>
      <c r="F24" s="2" t="s">
        <v>60</v>
      </c>
      <c r="I24" s="3"/>
    </row>
    <row r="25" spans="1:10" x14ac:dyDescent="0.25">
      <c r="A25" s="5">
        <v>3</v>
      </c>
      <c r="B25" s="5" t="s">
        <v>56</v>
      </c>
      <c r="C25" s="5">
        <v>1</v>
      </c>
      <c r="D25" s="5" t="s">
        <v>55</v>
      </c>
      <c r="F25" s="2" t="s">
        <v>61</v>
      </c>
      <c r="G25" s="2"/>
      <c r="I25" s="3"/>
    </row>
    <row r="26" spans="1:10" x14ac:dyDescent="0.25">
      <c r="A26" s="5">
        <v>4</v>
      </c>
      <c r="B26" s="5" t="s">
        <v>57</v>
      </c>
      <c r="C26" s="5">
        <v>2</v>
      </c>
      <c r="D26" s="5" t="s">
        <v>58</v>
      </c>
      <c r="F26" s="2"/>
      <c r="G26" s="2"/>
      <c r="I26" s="3"/>
    </row>
    <row r="27" spans="1:10" x14ac:dyDescent="0.25">
      <c r="A27" s="5">
        <v>5</v>
      </c>
      <c r="B27" s="5" t="s">
        <v>46</v>
      </c>
      <c r="C27" s="5">
        <v>1</v>
      </c>
      <c r="D27" s="5" t="s">
        <v>59</v>
      </c>
      <c r="G27" s="2"/>
      <c r="I27" s="3"/>
    </row>
    <row r="28" spans="1:10" x14ac:dyDescent="0.25">
      <c r="A28" s="15" t="s">
        <v>18</v>
      </c>
      <c r="B28" s="15"/>
      <c r="C28" s="15"/>
      <c r="D28" s="15"/>
      <c r="G28" s="2"/>
      <c r="I28" s="3"/>
    </row>
    <row r="29" spans="1:10" x14ac:dyDescent="0.25">
      <c r="A29" s="5">
        <v>1</v>
      </c>
      <c r="B29" s="5" t="s">
        <v>46</v>
      </c>
      <c r="C29" s="5">
        <v>1</v>
      </c>
      <c r="D29" s="5" t="s">
        <v>45</v>
      </c>
      <c r="F29" s="2"/>
      <c r="G29" s="2"/>
      <c r="I29" s="3"/>
    </row>
    <row r="30" spans="1:10" x14ac:dyDescent="0.25">
      <c r="A30" s="5">
        <v>2</v>
      </c>
      <c r="B30" s="5" t="s">
        <v>47</v>
      </c>
      <c r="C30" s="5">
        <v>1</v>
      </c>
      <c r="D30" s="5" t="s">
        <v>45</v>
      </c>
      <c r="F30" s="2"/>
      <c r="G30" s="2"/>
      <c r="I30" s="3"/>
    </row>
    <row r="31" spans="1:10" x14ac:dyDescent="0.25">
      <c r="A31" s="5">
        <v>3</v>
      </c>
      <c r="B31" s="5" t="s">
        <v>48</v>
      </c>
      <c r="C31" s="5">
        <v>2</v>
      </c>
      <c r="D31" s="5" t="s">
        <v>45</v>
      </c>
      <c r="F31" s="3"/>
      <c r="G31" s="3"/>
      <c r="I31" s="3"/>
    </row>
  </sheetData>
  <mergeCells count="7">
    <mergeCell ref="A22:D22"/>
    <mergeCell ref="A28:D28"/>
    <mergeCell ref="A1:J1"/>
    <mergeCell ref="A4:J4"/>
    <mergeCell ref="A19:J19"/>
    <mergeCell ref="A7:J7"/>
    <mergeCell ref="A12:J12"/>
  </mergeCells>
  <phoneticPr fontId="6" type="noConversion"/>
  <hyperlinks>
    <hyperlink ref="D13" r:id="rId1" xr:uid="{A92ED648-F042-4DB1-BDA2-ACF6A8003DF9}"/>
    <hyperlink ref="D8" r:id="rId2" xr:uid="{2B374A49-030C-4787-B652-5E0666B02CFB}"/>
    <hyperlink ref="D9" r:id="rId3" xr:uid="{803F430D-31E2-44DF-8B90-F0730A94B8DA}"/>
    <hyperlink ref="D10" r:id="rId4" xr:uid="{B3412580-B8ED-4458-9C65-6C4549FA2886}"/>
    <hyperlink ref="D11" r:id="rId5" xr:uid="{EFFC1B77-F917-4395-A290-70557A2E4742}"/>
    <hyperlink ref="D14" r:id="rId6" xr:uid="{4433A976-CC2A-4FF8-956F-859A6CC82D24}"/>
    <hyperlink ref="D15" r:id="rId7" xr:uid="{22AC35E2-523A-4BD8-87CC-33AD2C07F085}"/>
    <hyperlink ref="D16" r:id="rId8" xr:uid="{E20A9D33-39B4-4536-83DF-B89316E9B460}"/>
    <hyperlink ref="D17" r:id="rId9" xr:uid="{7D7F4773-9466-494B-A066-4E4A4938398E}"/>
  </hyperlinks>
  <pageMargins left="0.7" right="0.7" top="0.75" bottom="0.75" header="0.3" footer="0.3"/>
  <pageSetup scale="87" orientation="landscape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Kiselev, Roman</dc:creator>
  <cp:lastModifiedBy>Kiselev, Roman</cp:lastModifiedBy>
  <cp:lastPrinted>2025-03-18T16:59:27Z</cp:lastPrinted>
  <dcterms:created xsi:type="dcterms:W3CDTF">2025-03-17T21:22:57Z</dcterms:created>
  <dcterms:modified xsi:type="dcterms:W3CDTF">2025-06-04T20:30:58Z</dcterms:modified>
</cp:coreProperties>
</file>